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CS - WIN 10\Documents\"/>
    </mc:Choice>
  </mc:AlternateContent>
  <xr:revisionPtr revIDLastSave="0" documentId="13_ncr:1_{46BC96CA-492E-4AC5-B223-053744776BD5}" xr6:coauthVersionLast="47" xr6:coauthVersionMax="47" xr10:uidLastSave="{00000000-0000-0000-0000-000000000000}"/>
  <bookViews>
    <workbookView xWindow="-108" yWindow="-108" windowWidth="23256" windowHeight="12576" xr2:uid="{640B4420-5472-4DFF-96F1-34EAA25D5FC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12" i="1" l="1"/>
  <c r="L2" i="1"/>
  <c r="L3" i="1"/>
  <c r="L4" i="1"/>
  <c r="L5" i="1"/>
  <c r="L6" i="1"/>
  <c r="L7" i="1"/>
  <c r="L8" i="1"/>
  <c r="L9" i="1"/>
  <c r="L10" i="1"/>
  <c r="L11" i="1"/>
  <c r="K2" i="1"/>
  <c r="K3" i="1"/>
  <c r="K12" i="1" s="1"/>
  <c r="K4" i="1"/>
  <c r="K5" i="1"/>
  <c r="K6" i="1"/>
  <c r="K7" i="1"/>
  <c r="K8" i="1"/>
  <c r="K9" i="1"/>
  <c r="K10" i="1"/>
  <c r="K11" i="1"/>
  <c r="J2" i="1"/>
  <c r="J12" i="1" s="1"/>
  <c r="J3" i="1"/>
  <c r="J4" i="1"/>
  <c r="J5" i="1"/>
  <c r="J6" i="1"/>
  <c r="J7" i="1"/>
  <c r="J8" i="1"/>
  <c r="J9" i="1"/>
  <c r="J10" i="1"/>
  <c r="J11" i="1"/>
  <c r="I4" i="1"/>
  <c r="I5" i="1"/>
  <c r="I6" i="1"/>
  <c r="I7" i="1"/>
  <c r="I8" i="1"/>
  <c r="I9" i="1"/>
  <c r="I10" i="1"/>
  <c r="I11" i="1"/>
  <c r="I3" i="1"/>
  <c r="I2" i="1"/>
  <c r="I12" i="1" s="1"/>
  <c r="C3" i="1"/>
  <c r="C4" i="1" s="1"/>
  <c r="C5" i="1" s="1"/>
  <c r="C6" i="1" s="1"/>
  <c r="C7" i="1" s="1"/>
  <c r="C8" i="1" s="1"/>
  <c r="C9" i="1" s="1"/>
  <c r="C10" i="1" s="1"/>
</calcChain>
</file>

<file path=xl/sharedStrings.xml><?xml version="1.0" encoding="utf-8"?>
<sst xmlns="http://schemas.openxmlformats.org/spreadsheetml/2006/main" count="26" uniqueCount="23">
  <si>
    <t>D.demand</t>
  </si>
  <si>
    <t>relativeFreq</t>
  </si>
  <si>
    <t>CDF</t>
  </si>
  <si>
    <t>RNR</t>
  </si>
  <si>
    <t xml:space="preserve">0 -&gt; 5 </t>
  </si>
  <si>
    <t>6 -&gt; 15</t>
  </si>
  <si>
    <t>16 -&gt; 20</t>
  </si>
  <si>
    <t>21 -&gt; 30</t>
  </si>
  <si>
    <t>31 -&gt; 45</t>
  </si>
  <si>
    <t>46 -&gt;75</t>
  </si>
  <si>
    <t>76 -&gt; 90</t>
  </si>
  <si>
    <t>91 -&gt; 95</t>
  </si>
  <si>
    <t>96 -&gt; 100</t>
  </si>
  <si>
    <t>day</t>
  </si>
  <si>
    <t>randnum</t>
  </si>
  <si>
    <t>profq=50</t>
  </si>
  <si>
    <t>profQ=60</t>
  </si>
  <si>
    <t>profQ=70</t>
  </si>
  <si>
    <t>profQ=80</t>
  </si>
  <si>
    <t>total profit</t>
  </si>
  <si>
    <t>quntity</t>
  </si>
  <si>
    <t>profit</t>
  </si>
  <si>
    <t>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</si>
</sst>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6274FF7-E98A-4949-9F09-195DB3DEE970}" name="Table1" displayName="Table1" ref="A1:D10" totalsRowShown="0">
  <autoFilter ref="A1:D10" xr:uid="{16274FF7-E98A-4949-9F09-195DB3DEE970}"/>
  <tableColumns count="4">
    <tableColumn id="1" xr3:uid="{F2A95215-6B60-4F7F-BEEE-CAB84552CCEC}" name="D.demand"/>
    <tableColumn id="2" xr3:uid="{412D9B2F-7FA0-4DE0-B4AE-712928FC858E}" name="relativeFreq"/>
    <tableColumn id="3" xr3:uid="{1D902E67-9AD4-445E-8209-E020F36F0CA9}" name="CDF"/>
    <tableColumn id="4" xr3:uid="{EA1B14C9-0C65-4146-AEA0-1A0903E19402}" name="RNR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BD27033-6C04-4F58-9317-F2047AEF2EDF}" name="Table2" displayName="Table2" ref="F1:L12" totalsRowShown="0">
  <autoFilter ref="F1:L12" xr:uid="{3BD27033-6C04-4F58-9317-F2047AEF2EDF}"/>
  <tableColumns count="7">
    <tableColumn id="1" xr3:uid="{496FD3B4-B125-4D1A-868C-F048910660DE}" name="day"/>
    <tableColumn id="2" xr3:uid="{92C21E56-8982-4D0F-A280-858928C0839E}" name="randnum" dataDxfId="3">
      <calculatedColumnFormula>RANDBETWEEN(0.5,1)</calculatedColumnFormula>
    </tableColumn>
    <tableColumn id="3" xr3:uid="{08AB2BAC-8737-4786-9225-35280F66695E}" name="D.demand"/>
    <tableColumn id="4" xr3:uid="{AFF8D88F-6F68-4712-8B47-27B013CDE0FA}" name="profq=50"/>
    <tableColumn id="5" xr3:uid="{6EBDF8B3-135C-49CE-B345-E9A1784914BA}" name="profQ=60" dataDxfId="2">
      <calculatedColumnFormula>(6*Table2[[#This Row],[D.demand]])-(2.5*60)</calculatedColumnFormula>
    </tableColumn>
    <tableColumn id="6" xr3:uid="{CFA4ADA9-D1E0-47E9-865B-C287B8F14692}" name="profQ=70" dataDxfId="1">
      <calculatedColumnFormula>(6*Table2[[#This Row],[D.demand]])-(2.5*70)</calculatedColumnFormula>
    </tableColumn>
    <tableColumn id="7" xr3:uid="{7A0AD751-7E26-4198-9E81-B77150C8265E}" name="profQ=80" dataDxfId="0">
      <calculatedColumnFormula>(6*Table2[[#This Row],[D.demand]])-(2.5*80)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7A6E81B-72BE-4CF3-BF50-E815B4EEEC08}" name="Table4" displayName="Table4" ref="N1:O6" totalsRowShown="0">
  <autoFilter ref="N1:O6" xr:uid="{F7A6E81B-72BE-4CF3-BF50-E815B4EEEC08}"/>
  <tableColumns count="2">
    <tableColumn id="1" xr3:uid="{E5CA80C4-A418-4BAC-B6C9-5240B31EE563}" name="quntity"/>
    <tableColumn id="2" xr3:uid="{F8825C19-642D-47DA-9BF1-20172770C5BD}" name="profi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00967C-1A9C-4761-A32B-4C0698373359}">
  <dimension ref="A1:O12"/>
  <sheetViews>
    <sheetView tabSelected="1" workbookViewId="0">
      <selection activeCell="K22" sqref="K22"/>
    </sheetView>
  </sheetViews>
  <sheetFormatPr defaultRowHeight="14.4" x14ac:dyDescent="0.3"/>
  <cols>
    <col min="1" max="4" width="10.44140625" customWidth="1"/>
    <col min="6" max="12" width="10.44140625" customWidth="1"/>
    <col min="14" max="15" width="10.44140625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F1" t="s">
        <v>13</v>
      </c>
      <c r="G1" t="s">
        <v>14</v>
      </c>
      <c r="H1" t="s">
        <v>0</v>
      </c>
      <c r="I1" t="s">
        <v>15</v>
      </c>
      <c r="J1" t="s">
        <v>16</v>
      </c>
      <c r="K1" t="s">
        <v>17</v>
      </c>
      <c r="L1" t="s">
        <v>18</v>
      </c>
      <c r="N1" t="s">
        <v>20</v>
      </c>
      <c r="O1" t="s">
        <v>21</v>
      </c>
    </row>
    <row r="2" spans="1:15" x14ac:dyDescent="0.3">
      <c r="A2">
        <v>0</v>
      </c>
      <c r="B2">
        <v>0.05</v>
      </c>
      <c r="C2">
        <v>0.05</v>
      </c>
      <c r="D2" t="s">
        <v>4</v>
      </c>
      <c r="F2">
        <v>1</v>
      </c>
      <c r="G2">
        <v>0.55000000000000004</v>
      </c>
      <c r="H2">
        <v>50</v>
      </c>
      <c r="I2">
        <f>3.5*Table2[[#This Row],[D.demand]]</f>
        <v>175</v>
      </c>
      <c r="J2">
        <f>(6*Table2[[#This Row],[D.demand]])-(2.5*60)</f>
        <v>150</v>
      </c>
      <c r="K2">
        <f>(6*Table2[[#This Row],[D.demand]])-(2.5*70)</f>
        <v>125</v>
      </c>
      <c r="L2">
        <f>(6*Table2[[#This Row],[D.demand]])-(2.5*80)</f>
        <v>100</v>
      </c>
      <c r="N2">
        <v>50</v>
      </c>
      <c r="O2">
        <v>490</v>
      </c>
    </row>
    <row r="3" spans="1:15" x14ac:dyDescent="0.3">
      <c r="A3">
        <v>10</v>
      </c>
      <c r="B3">
        <v>0.1</v>
      </c>
      <c r="C3">
        <f>SUM(B2+Table1[[#This Row],[relativeFreq]])</f>
        <v>0.15000000000000002</v>
      </c>
      <c r="D3" t="s">
        <v>5</v>
      </c>
      <c r="F3">
        <v>2</v>
      </c>
      <c r="G3">
        <v>0.01</v>
      </c>
      <c r="H3">
        <v>0</v>
      </c>
      <c r="I3">
        <f>(6*Table2[[#This Row],[D.demand]])-(2.5*50)</f>
        <v>-125</v>
      </c>
      <c r="J3">
        <f>(6*Table2[[#This Row],[D.demand]])-(2.5*60)</f>
        <v>-150</v>
      </c>
      <c r="K3">
        <f>(6*Table2[[#This Row],[D.demand]])-(2.5*70)</f>
        <v>-175</v>
      </c>
      <c r="L3">
        <f>(6*Table2[[#This Row],[D.demand]])-(2.5*80)</f>
        <v>-200</v>
      </c>
      <c r="N3">
        <v>60</v>
      </c>
      <c r="O3">
        <v>240</v>
      </c>
    </row>
    <row r="4" spans="1:15" x14ac:dyDescent="0.3">
      <c r="A4">
        <v>20</v>
      </c>
      <c r="B4">
        <v>0.05</v>
      </c>
      <c r="C4">
        <f>SUM(C3+Table1[[#This Row],[relativeFreq]])</f>
        <v>0.2</v>
      </c>
      <c r="D4" t="s">
        <v>6</v>
      </c>
      <c r="F4">
        <v>3</v>
      </c>
      <c r="G4">
        <v>0.65</v>
      </c>
      <c r="H4">
        <v>50</v>
      </c>
      <c r="I4">
        <f>(6*Table2[[#This Row],[D.demand]])-(2.5*50)</f>
        <v>175</v>
      </c>
      <c r="J4">
        <f>(6*Table2[[#This Row],[D.demand]])-(2.5*60)</f>
        <v>150</v>
      </c>
      <c r="K4">
        <f>(6*Table2[[#This Row],[D.demand]])-(2.5*70)</f>
        <v>125</v>
      </c>
      <c r="L4">
        <f>(6*Table2[[#This Row],[D.demand]])-(2.5*80)</f>
        <v>100</v>
      </c>
      <c r="N4">
        <v>70</v>
      </c>
      <c r="O4">
        <v>-10</v>
      </c>
    </row>
    <row r="5" spans="1:15" x14ac:dyDescent="0.3">
      <c r="A5">
        <v>30</v>
      </c>
      <c r="B5">
        <v>0.1</v>
      </c>
      <c r="C5">
        <f>SUM(C4+Table1[[#This Row],[relativeFreq]])</f>
        <v>0.30000000000000004</v>
      </c>
      <c r="D5" t="s">
        <v>7</v>
      </c>
      <c r="F5">
        <v>4</v>
      </c>
      <c r="G5">
        <v>0.27</v>
      </c>
      <c r="H5">
        <v>30</v>
      </c>
      <c r="I5">
        <f>(6*Table2[[#This Row],[D.demand]])-(2.5*50)</f>
        <v>55</v>
      </c>
      <c r="J5">
        <f>(6*Table2[[#This Row],[D.demand]])-(2.5*60)</f>
        <v>30</v>
      </c>
      <c r="K5">
        <f>(6*Table2[[#This Row],[D.demand]])-(2.5*70)</f>
        <v>5</v>
      </c>
      <c r="L5">
        <f>(6*Table2[[#This Row],[D.demand]])-(2.5*80)</f>
        <v>-20</v>
      </c>
      <c r="N5">
        <v>80</v>
      </c>
      <c r="O5">
        <v>-260</v>
      </c>
    </row>
    <row r="6" spans="1:15" x14ac:dyDescent="0.3">
      <c r="A6">
        <v>40</v>
      </c>
      <c r="B6">
        <v>0.15</v>
      </c>
      <c r="C6">
        <f>SUM(C5+Table1[[#This Row],[relativeFreq]])</f>
        <v>0.45000000000000007</v>
      </c>
      <c r="D6" t="s">
        <v>8</v>
      </c>
      <c r="F6">
        <v>5</v>
      </c>
      <c r="G6">
        <v>0.11</v>
      </c>
      <c r="H6">
        <v>10</v>
      </c>
      <c r="I6">
        <f>(6*Table2[[#This Row],[D.demand]])-(2.5*50)</f>
        <v>-65</v>
      </c>
      <c r="J6">
        <f>(6*Table2[[#This Row],[D.demand]])-(2.5*60)</f>
        <v>-90</v>
      </c>
      <c r="K6">
        <f>(6*Table2[[#This Row],[D.demand]])-(2.5*70)</f>
        <v>-115</v>
      </c>
      <c r="L6">
        <f>(6*Table2[[#This Row],[D.demand]])-(2.5*80)</f>
        <v>-140</v>
      </c>
      <c r="N6" t="s">
        <v>22</v>
      </c>
      <c r="O6">
        <v>490</v>
      </c>
    </row>
    <row r="7" spans="1:15" x14ac:dyDescent="0.3">
      <c r="A7">
        <v>50</v>
      </c>
      <c r="B7">
        <v>0.3</v>
      </c>
      <c r="C7">
        <f>SUM(C6+Table1[[#This Row],[relativeFreq]])</f>
        <v>0.75</v>
      </c>
      <c r="D7" t="s">
        <v>9</v>
      </c>
      <c r="F7">
        <v>6</v>
      </c>
      <c r="G7">
        <v>0.46</v>
      </c>
      <c r="H7">
        <v>50</v>
      </c>
      <c r="I7">
        <f>(6*Table2[[#This Row],[D.demand]])-(2.5*50)</f>
        <v>175</v>
      </c>
      <c r="J7">
        <f>(6*Table2[[#This Row],[D.demand]])-(2.5*60)</f>
        <v>150</v>
      </c>
      <c r="K7">
        <f>(6*Table2[[#This Row],[D.demand]])-(2.5*70)</f>
        <v>125</v>
      </c>
      <c r="L7">
        <f>(6*Table2[[#This Row],[D.demand]])-(2.5*80)</f>
        <v>100</v>
      </c>
    </row>
    <row r="8" spans="1:15" x14ac:dyDescent="0.3">
      <c r="A8">
        <v>60</v>
      </c>
      <c r="B8">
        <v>0.15</v>
      </c>
      <c r="C8">
        <f>SUM(C7+Table1[[#This Row],[relativeFreq]])</f>
        <v>0.9</v>
      </c>
      <c r="D8" t="s">
        <v>10</v>
      </c>
      <c r="F8">
        <v>7</v>
      </c>
      <c r="G8">
        <v>0.14000000000000001</v>
      </c>
      <c r="H8">
        <v>10</v>
      </c>
      <c r="I8">
        <f>(6*Table2[[#This Row],[D.demand]])-(2.5*50)</f>
        <v>-65</v>
      </c>
      <c r="J8">
        <f>(6*Table2[[#This Row],[D.demand]])-(2.5*60)</f>
        <v>-90</v>
      </c>
      <c r="K8">
        <f>(6*Table2[[#This Row],[D.demand]])-(2.5*70)</f>
        <v>-115</v>
      </c>
      <c r="L8">
        <f>(6*Table2[[#This Row],[D.demand]])-(2.5*80)</f>
        <v>-140</v>
      </c>
    </row>
    <row r="9" spans="1:15" x14ac:dyDescent="0.3">
      <c r="A9">
        <v>70</v>
      </c>
      <c r="B9">
        <v>0.05</v>
      </c>
      <c r="C9">
        <f>SUM(C8+Table1[[#This Row],[relativeFreq]])</f>
        <v>0.95000000000000007</v>
      </c>
      <c r="D9" t="s">
        <v>11</v>
      </c>
      <c r="F9">
        <v>8</v>
      </c>
      <c r="G9">
        <v>0.53</v>
      </c>
      <c r="H9">
        <v>50</v>
      </c>
      <c r="I9">
        <f>(6*Table2[[#This Row],[D.demand]])-(2.5*50)</f>
        <v>175</v>
      </c>
      <c r="J9">
        <f>(6*Table2[[#This Row],[D.demand]])-(2.5*60)</f>
        <v>150</v>
      </c>
      <c r="K9">
        <f>(6*Table2[[#This Row],[D.demand]])-(2.5*70)</f>
        <v>125</v>
      </c>
      <c r="L9">
        <f>(6*Table2[[#This Row],[D.demand]])-(2.5*80)</f>
        <v>100</v>
      </c>
    </row>
    <row r="10" spans="1:15" x14ac:dyDescent="0.3">
      <c r="A10">
        <v>80</v>
      </c>
      <c r="B10">
        <v>0.05</v>
      </c>
      <c r="C10">
        <f>SUM(C9+Table1[[#This Row],[relativeFreq]])</f>
        <v>1</v>
      </c>
      <c r="D10" t="s">
        <v>12</v>
      </c>
      <c r="F10">
        <v>9</v>
      </c>
      <c r="G10">
        <v>0.14000000000000001</v>
      </c>
      <c r="H10">
        <v>10</v>
      </c>
      <c r="I10">
        <f>(6*Table2[[#This Row],[D.demand]])-(2.5*50)</f>
        <v>-65</v>
      </c>
      <c r="J10">
        <f>(6*Table2[[#This Row],[D.demand]])-(2.5*60)</f>
        <v>-90</v>
      </c>
      <c r="K10">
        <f>(6*Table2[[#This Row],[D.demand]])-(2.5*70)</f>
        <v>-115</v>
      </c>
      <c r="L10">
        <f>(6*Table2[[#This Row],[D.demand]])-(2.5*80)</f>
        <v>-140</v>
      </c>
    </row>
    <row r="11" spans="1:15" x14ac:dyDescent="0.3">
      <c r="F11">
        <v>10</v>
      </c>
      <c r="G11">
        <v>0.37</v>
      </c>
      <c r="H11">
        <v>30</v>
      </c>
      <c r="I11">
        <f>(6*Table2[[#This Row],[D.demand]])-(2.5*50)</f>
        <v>55</v>
      </c>
      <c r="J11">
        <f>(6*Table2[[#This Row],[D.demand]])-(2.5*60)</f>
        <v>30</v>
      </c>
      <c r="K11">
        <f>(6*Table2[[#This Row],[D.demand]])-(2.5*70)</f>
        <v>5</v>
      </c>
      <c r="L11">
        <f>(6*Table2[[#This Row],[D.demand]])-(2.5*80)</f>
        <v>-20</v>
      </c>
    </row>
    <row r="12" spans="1:15" x14ac:dyDescent="0.3">
      <c r="F12" t="s">
        <v>19</v>
      </c>
      <c r="G12" t="s">
        <v>19</v>
      </c>
      <c r="H12" t="s">
        <v>19</v>
      </c>
      <c r="I12">
        <f>SUM(I2:I11)</f>
        <v>490</v>
      </c>
      <c r="J12">
        <f>SUM(J2:J11)</f>
        <v>240</v>
      </c>
      <c r="K12">
        <f>SUM(K2:K11)</f>
        <v>-10</v>
      </c>
      <c r="L12">
        <f>SUM(L2:L11)</f>
        <v>-260</v>
      </c>
    </row>
  </sheetData>
  <pageMargins left="0.7" right="0.7" top="0.75" bottom="0.75" header="0.3" footer="0.3"/>
  <tableParts count="3">
    <tablePart r:id="rId1"/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Mostafa mahmoud</dc:creator>
  <cp:lastModifiedBy>Mostafa mahmoud</cp:lastModifiedBy>
  <dcterms:created xsi:type="dcterms:W3CDTF">2025-12-09T12:43:08Z</dcterms:created>
  <dcterms:modified xsi:type="dcterms:W3CDTF">2025-12-09T13:33:18Z</dcterms:modified>
</cp:coreProperties>
</file>